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an\Desktop\Fatima AI Project\"/>
    </mc:Choice>
  </mc:AlternateContent>
  <xr:revisionPtr revIDLastSave="0" documentId="13_ncr:1_{878636BD-B438-4CA4-AEA1-5A6E3D58C4E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un results" sheetId="1" r:id="rId1"/>
    <sheet name="Topic-level stats" sheetId="2" r:id="rId2"/>
    <sheet name="Issues and to-d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2" l="1"/>
  <c r="E18" i="2"/>
  <c r="F17" i="2"/>
  <c r="E17" i="2"/>
  <c r="F16" i="2"/>
  <c r="E16" i="2"/>
  <c r="F15" i="2"/>
  <c r="E15" i="2"/>
  <c r="F14" i="2"/>
  <c r="E14" i="2"/>
  <c r="F13" i="2"/>
  <c r="E13" i="2"/>
  <c r="G11" i="1"/>
  <c r="G10" i="1"/>
  <c r="G9" i="1"/>
  <c r="G8" i="1"/>
  <c r="G7" i="1"/>
  <c r="G6" i="1"/>
  <c r="K11" i="1" l="1"/>
  <c r="J11" i="1"/>
  <c r="I11" i="1"/>
  <c r="H11" i="1"/>
  <c r="L10" i="1"/>
  <c r="K10" i="1"/>
  <c r="J10" i="1"/>
  <c r="I10" i="1"/>
  <c r="H10" i="1"/>
  <c r="M10" i="1" s="1"/>
  <c r="I9" i="1"/>
  <c r="K9" i="1"/>
  <c r="J9" i="1"/>
  <c r="H9" i="1"/>
  <c r="K8" i="1"/>
  <c r="J8" i="1"/>
  <c r="I8" i="1"/>
  <c r="H8" i="1"/>
  <c r="I7" i="1"/>
  <c r="H7" i="1"/>
  <c r="M7" i="1"/>
  <c r="L7" i="1"/>
  <c r="K7" i="1"/>
  <c r="J7" i="1"/>
  <c r="K6" i="1"/>
  <c r="J6" i="1"/>
  <c r="I6" i="1"/>
  <c r="H6" i="1"/>
  <c r="L11" i="1" l="1"/>
  <c r="M11" i="1"/>
  <c r="L9" i="1"/>
  <c r="M9" i="1"/>
  <c r="L6" i="1"/>
  <c r="M6" i="1"/>
  <c r="M8" i="1"/>
  <c r="L8" i="1"/>
</calcChain>
</file>

<file path=xl/sharedStrings.xml><?xml version="1.0" encoding="utf-8"?>
<sst xmlns="http://schemas.openxmlformats.org/spreadsheetml/2006/main" count="123" uniqueCount="81">
  <si>
    <t>Citation reliability: reference-level results by model and condition</t>
  </si>
  <si>
    <t>Assumption</t>
  </si>
  <si>
    <t>z for 95% Wilson interval</t>
  </si>
  <si>
    <t>Model</t>
  </si>
  <si>
    <t>Condition</t>
  </si>
  <si>
    <t>REAL_OK</t>
  </si>
  <si>
    <t>REAL_BAD_LINK</t>
  </si>
  <si>
    <t>WRONG_PAPER_LINK</t>
  </si>
  <si>
    <t>FABRICATED</t>
  </si>
  <si>
    <t>n refs (parsed)</t>
  </si>
  <si>
    <t>REAL_OK rate</t>
  </si>
  <si>
    <t>REAL_BAD_LINK rate</t>
  </si>
  <si>
    <t>WRONG_PAPER_LINK rate</t>
  </si>
  <si>
    <t>FABRICATED rate</t>
  </si>
  <si>
    <t>REAL_OK 95% CI low</t>
  </si>
  <si>
    <t>REAL_OK 95% CI high</t>
  </si>
  <si>
    <t>Unparsable responses</t>
  </si>
  <si>
    <t>microsoft/Phi-3-mini-4k-instruct</t>
  </si>
  <si>
    <t>A</t>
  </si>
  <si>
    <t>B</t>
  </si>
  <si>
    <t>C</t>
  </si>
  <si>
    <t>Inpris/humains-junior</t>
  </si>
  <si>
    <t>Notes</t>
  </si>
  <si>
    <t>Source: label counts printed in the cell outputs of the two notebooks you uploaded (Inpris-humains-junior.ipynb, microsoftPhi-3-mini-4k-instruct.ipynb). Blue cells are those hardcoded numbers.</t>
  </si>
  <si>
    <t>Labels: REAL_OK = paper exists and link works; REAL_BAD_LINK = paper exists, link dead; WRONG_PAPER_LINK = valid DOI/arXiv link to a different paper; FABRICATED = no match in Crossref/OpenAlex.</t>
  </si>
  <si>
    <t>B and C are both near 0% REAL_OK for both models (floor effect), so they cannot be told apart. Unparsable responses are excluded from n refs.</t>
  </si>
  <si>
    <t>Topic-level analysis (primary result) and pairwise tests</t>
  </si>
  <si>
    <t>Topics with parsed output</t>
  </si>
  <si>
    <t>Mean REAL_OK rate per topic</t>
  </si>
  <si>
    <t>Topic-bootstrap 95% CI low</t>
  </si>
  <si>
    <t>Topic-bootstrap 95% CI high</t>
  </si>
  <si>
    <t>Significance threshold</t>
  </si>
  <si>
    <t>Comparison</t>
  </si>
  <si>
    <t>Mann-Whitney U p (topic level)</t>
  </si>
  <si>
    <t>Fisher exact p (reference level)</t>
  </si>
  <si>
    <t>Topic-level p &lt; 0.05?</t>
  </si>
  <si>
    <t>Reference-level p &lt; 0.05?</t>
  </si>
  <si>
    <t>A vs B</t>
  </si>
  <si>
    <t>A vs C</t>
  </si>
  <si>
    <t>B vs C</t>
  </si>
  <si>
    <t>Source: statistics printed in the cell outputs of the two uploaded notebooks (rounded as printed). Blue cells are hardcoded from there.</t>
  </si>
  <si>
    <t>The topic-level test is primary. The reference-level Fisher test treats references from similar topics as independent, so its p-values are too small (anti-conservative).</t>
  </si>
  <si>
    <t>B vs C is not significant for either model: a floor effect, not evidence that recency does not matter.</t>
  </si>
  <si>
    <t>humains-junior: topics with no parsable output are dropped from the topic-level means (14 of 15 topics in A and B).</t>
  </si>
  <si>
    <t>Open issues before submission (deadline: 11 Oct 2026, anywhere on Earth)</t>
  </si>
  <si>
    <t>#</t>
  </si>
  <si>
    <t>Priority</t>
  </si>
  <si>
    <t>Issue</t>
  </si>
  <si>
    <t>Why it matters</t>
  </si>
  <si>
    <t>Action</t>
  </si>
  <si>
    <t>Status</t>
  </si>
  <si>
    <t>Urgent</t>
  </si>
  <si>
    <t>A Hugging Face access token was typed directly into a login cell of the humains-junior notebook (and shared in chat).</t>
  </si>
  <si>
    <t>Anyone with it can use your account. It would also be published if the notebook goes into the public bucket.</t>
  </si>
  <si>
    <t>Delete the token at huggingface.co/settings/tokens, create a new one, and enter it only at the login() prompt. Do not upload that notebook.</t>
  </si>
  <si>
    <t>Open</t>
  </si>
  <si>
    <t>High</t>
  </si>
  <si>
    <t>Manual audit not done: audit_sample.csv is unfilled in both notebooks.</t>
  </si>
  <si>
    <t>FABRICATED rates are unaudited and may be inflated by verifier misses (index coverage, title threshold).</t>
  </si>
  <si>
    <t>Check the 30 sampled rows by hand, fill really_exists, and report the false-alarm rate.</t>
  </si>
  <si>
    <t>Floor effect: B and C are near 0% REAL_OK for both models.</t>
  </si>
  <si>
    <t>B and C cannot be told apart, so no recency effect can be claimed.</t>
  </si>
  <si>
    <t>State this honestly in the README; consider topics of intermediate difficulty if time allows.</t>
  </si>
  <si>
    <t>Model fit: Phi-3-mini dates from April 2024 and humains-junior is unverified; MiniCPM5-2B has not been run.</t>
  </si>
  <si>
    <t>The form grades the model choice on how well it represents current frontier behaviour.</t>
  </si>
  <si>
    <t>Read each model card (size, cutoff, provenance), run MiniCPM5-2B if time allows, and justify the final choice in the README.</t>
  </si>
  <si>
    <t>Medium</t>
  </si>
  <si>
    <t>humains-junior run wrote to a Windows path, so outputs.jsonl is missing from its artifacts/ folder.</t>
  </si>
  <si>
    <t>The bucket would not contain the raw model outputs.</t>
  </si>
  <si>
    <t>Write outputs to outputs.jsonl, or copy the file into artifacts/ before the upload.</t>
  </si>
  <si>
    <t>C topics are not verified as post-cutoff for the model used.</t>
  </si>
  <si>
    <t>Condition C only tests recency if the topics postdate that model's knowledge cutoff.</t>
  </si>
  <si>
    <t>Check each C topic's first public (arXiv) date against the model's cutoff.</t>
  </si>
  <si>
    <t>Required</t>
  </si>
  <si>
    <t>README answers to Q1 and Q3 are not written.</t>
  </si>
  <si>
    <t>The form requires them to be your own work, and rejects generic or AI-generated answers.</t>
  </si>
  <si>
    <t>Write both yourself from your own experience and results; disclose that the notebook tooling was AI-assisted.</t>
  </si>
  <si>
    <t>Final step</t>
  </si>
  <si>
    <t>Create the public Hugging Face Bucket and add the link to the form.</t>
  </si>
  <si>
    <t>Reviewers need to open it without logging in.</t>
  </si>
  <si>
    <t>Upload artifacts/, then open the link in a private window to check it is public.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</si>
</sst>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114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6" sqref="A16"/>
    </sheetView>
  </sheetViews>
  <sheetFormatPr defaultColWidth="8.7109375" defaultRowHeight="15" x14ac:dyDescent="0.25"/>
  <cols>
    <col min="1" max="1" width="34" customWidth="1"/>
    <col min="2" max="2" width="9.7109375" bestFit="1" customWidth="1"/>
    <col min="3" max="3" width="10" customWidth="1"/>
    <col min="4" max="4" width="14" customWidth="1"/>
    <col min="5" max="5" width="18" customWidth="1"/>
    <col min="6" max="6" width="13" customWidth="1"/>
    <col min="7" max="7" width="14" customWidth="1"/>
    <col min="8" max="8" width="12" customWidth="1"/>
    <col min="9" max="9" width="18" customWidth="1"/>
    <col min="10" max="10" width="21" customWidth="1"/>
    <col min="11" max="11" width="15" customWidth="1"/>
    <col min="12" max="13" width="17" customWidth="1"/>
    <col min="14" max="14" width="14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2" t="s">
        <v>2</v>
      </c>
      <c r="B3" s="3">
        <v>1.96</v>
      </c>
    </row>
    <row r="5" spans="1:14" ht="42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spans="1:14" x14ac:dyDescent="0.25">
      <c r="A6" s="5" t="s">
        <v>17</v>
      </c>
      <c r="B6" s="6" t="s">
        <v>18</v>
      </c>
      <c r="C6" s="7">
        <v>56</v>
      </c>
      <c r="D6" s="7">
        <v>22</v>
      </c>
      <c r="E6" s="7">
        <v>44</v>
      </c>
      <c r="F6" s="7">
        <v>23</v>
      </c>
      <c r="G6" s="6">
        <f t="shared" ref="G6:G11" si="0">SUM(C6:F6)</f>
        <v>145</v>
      </c>
      <c r="H6" s="8">
        <f t="shared" ref="H6:K11" si="1">IF($G6=0,"",C6/$G6)</f>
        <v>0.38620689655172413</v>
      </c>
      <c r="I6" s="8">
        <f t="shared" si="1"/>
        <v>0.15172413793103448</v>
      </c>
      <c r="J6" s="8">
        <f t="shared" si="1"/>
        <v>0.30344827586206896</v>
      </c>
      <c r="K6" s="8">
        <f t="shared" si="1"/>
        <v>0.15862068965517243</v>
      </c>
      <c r="L6" s="8">
        <f t="shared" ref="L6:L11" si="2">IF($G6=0,"",(($H6+$B$3^2/(2*$G6))-$B$3*SQRT($H6*(1-$H6)/$G6+$B$3^2/(4*$G6^2)))/(1+$B$3^2/$G6))</f>
        <v>0.31086929582821293</v>
      </c>
      <c r="M6" s="8">
        <f t="shared" ref="M6:M11" si="3">IF($G6=0,"",(($H6+$B$3^2/(2*$G6))+$B$3*SQRT($H6*(1-$H6)/$G6+$B$3^2/(4*$G6^2)))/(1+$B$3^2/$G6))</f>
        <v>0.46741849468196689</v>
      </c>
      <c r="N6" s="7">
        <v>1</v>
      </c>
    </row>
    <row r="7" spans="1:14" x14ac:dyDescent="0.25">
      <c r="A7" s="5" t="s">
        <v>17</v>
      </c>
      <c r="B7" s="6" t="s">
        <v>19</v>
      </c>
      <c r="C7" s="7">
        <v>4</v>
      </c>
      <c r="D7" s="7">
        <v>0</v>
      </c>
      <c r="E7" s="7">
        <v>10</v>
      </c>
      <c r="F7" s="7">
        <v>136</v>
      </c>
      <c r="G7" s="6">
        <f t="shared" si="0"/>
        <v>150</v>
      </c>
      <c r="H7" s="8">
        <f t="shared" si="1"/>
        <v>2.6666666666666668E-2</v>
      </c>
      <c r="I7" s="8">
        <f t="shared" si="1"/>
        <v>0</v>
      </c>
      <c r="J7" s="8">
        <f t="shared" si="1"/>
        <v>6.6666666666666666E-2</v>
      </c>
      <c r="K7" s="8">
        <f t="shared" si="1"/>
        <v>0.90666666666666662</v>
      </c>
      <c r="L7" s="8">
        <f t="shared" si="2"/>
        <v>1.0417772291104762E-2</v>
      </c>
      <c r="M7" s="8">
        <f t="shared" si="3"/>
        <v>6.6554906100175615E-2</v>
      </c>
      <c r="N7" s="7">
        <v>0</v>
      </c>
    </row>
    <row r="8" spans="1:14" x14ac:dyDescent="0.25">
      <c r="A8" s="5" t="s">
        <v>17</v>
      </c>
      <c r="B8" s="6" t="s">
        <v>20</v>
      </c>
      <c r="C8" s="7">
        <v>0</v>
      </c>
      <c r="D8" s="7">
        <v>0</v>
      </c>
      <c r="E8" s="7">
        <v>9</v>
      </c>
      <c r="F8" s="7">
        <v>131</v>
      </c>
      <c r="G8" s="6">
        <f t="shared" si="0"/>
        <v>140</v>
      </c>
      <c r="H8" s="8">
        <f t="shared" si="1"/>
        <v>0</v>
      </c>
      <c r="I8" s="8">
        <f t="shared" si="1"/>
        <v>0</v>
      </c>
      <c r="J8" s="8">
        <f t="shared" si="1"/>
        <v>6.4285714285714279E-2</v>
      </c>
      <c r="K8" s="8">
        <f t="shared" si="1"/>
        <v>0.93571428571428572</v>
      </c>
      <c r="L8" s="8">
        <f t="shared" si="2"/>
        <v>0</v>
      </c>
      <c r="M8" s="8">
        <f t="shared" si="3"/>
        <v>2.6707155648991669E-2</v>
      </c>
      <c r="N8" s="7">
        <v>2</v>
      </c>
    </row>
    <row r="9" spans="1:14" x14ac:dyDescent="0.25">
      <c r="A9" s="5" t="s">
        <v>21</v>
      </c>
      <c r="B9" s="6" t="s">
        <v>18</v>
      </c>
      <c r="C9" s="7">
        <v>9</v>
      </c>
      <c r="D9" s="7">
        <v>11</v>
      </c>
      <c r="E9" s="7">
        <v>26</v>
      </c>
      <c r="F9" s="7">
        <v>89</v>
      </c>
      <c r="G9" s="6">
        <f t="shared" si="0"/>
        <v>135</v>
      </c>
      <c r="H9" s="8">
        <f t="shared" si="1"/>
        <v>6.6666666666666666E-2</v>
      </c>
      <c r="I9" s="8">
        <f t="shared" si="1"/>
        <v>8.1481481481481488E-2</v>
      </c>
      <c r="J9" s="8">
        <f t="shared" si="1"/>
        <v>0.19259259259259259</v>
      </c>
      <c r="K9" s="8">
        <f t="shared" si="1"/>
        <v>0.65925925925925921</v>
      </c>
      <c r="L9" s="8">
        <f t="shared" si="2"/>
        <v>3.5466495086310348E-2</v>
      </c>
      <c r="M9" s="8">
        <f t="shared" si="3"/>
        <v>0.12184658687183475</v>
      </c>
      <c r="N9" s="7">
        <v>3</v>
      </c>
    </row>
    <row r="10" spans="1:14" x14ac:dyDescent="0.25">
      <c r="A10" s="5" t="s">
        <v>21</v>
      </c>
      <c r="B10" s="6" t="s">
        <v>19</v>
      </c>
      <c r="C10" s="7">
        <v>0</v>
      </c>
      <c r="D10" s="7">
        <v>0</v>
      </c>
      <c r="E10" s="7">
        <v>9</v>
      </c>
      <c r="F10" s="7">
        <v>131</v>
      </c>
      <c r="G10" s="6">
        <f t="shared" si="0"/>
        <v>140</v>
      </c>
      <c r="H10" s="8">
        <f t="shared" si="1"/>
        <v>0</v>
      </c>
      <c r="I10" s="8">
        <f t="shared" si="1"/>
        <v>0</v>
      </c>
      <c r="J10" s="8">
        <f t="shared" si="1"/>
        <v>6.4285714285714279E-2</v>
      </c>
      <c r="K10" s="8">
        <f t="shared" si="1"/>
        <v>0.93571428571428572</v>
      </c>
      <c r="L10" s="8">
        <f t="shared" si="2"/>
        <v>0</v>
      </c>
      <c r="M10" s="8">
        <f t="shared" si="3"/>
        <v>2.6707155648991669E-2</v>
      </c>
      <c r="N10" s="7">
        <v>2</v>
      </c>
    </row>
    <row r="11" spans="1:14" x14ac:dyDescent="0.25">
      <c r="A11" s="5" t="s">
        <v>21</v>
      </c>
      <c r="B11" s="6" t="s">
        <v>20</v>
      </c>
      <c r="C11" s="7">
        <v>0</v>
      </c>
      <c r="D11" s="7">
        <v>0</v>
      </c>
      <c r="E11" s="7">
        <v>3</v>
      </c>
      <c r="F11" s="7">
        <v>137</v>
      </c>
      <c r="G11" s="6">
        <f t="shared" si="0"/>
        <v>140</v>
      </c>
      <c r="H11" s="8">
        <f t="shared" si="1"/>
        <v>0</v>
      </c>
      <c r="I11" s="8">
        <f t="shared" si="1"/>
        <v>0</v>
      </c>
      <c r="J11" s="8">
        <f t="shared" si="1"/>
        <v>2.1428571428571429E-2</v>
      </c>
      <c r="K11" s="8">
        <f t="shared" si="1"/>
        <v>0.97857142857142854</v>
      </c>
      <c r="L11" s="8">
        <f t="shared" si="2"/>
        <v>0</v>
      </c>
      <c r="M11" s="8">
        <f t="shared" si="3"/>
        <v>2.6707155648991669E-2</v>
      </c>
      <c r="N11" s="7">
        <v>2</v>
      </c>
    </row>
    <row r="13" spans="1:14" x14ac:dyDescent="0.25">
      <c r="A13" s="9" t="s">
        <v>22</v>
      </c>
    </row>
    <row r="14" spans="1:14" x14ac:dyDescent="0.25">
      <c r="A14" s="10" t="s">
        <v>23</v>
      </c>
    </row>
    <row r="15" spans="1:14" x14ac:dyDescent="0.25">
      <c r="A15" s="10" t="s">
        <v>24</v>
      </c>
    </row>
    <row r="16" spans="1:14" x14ac:dyDescent="0.25">
      <c r="A16" s="10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14" customWidth="1"/>
    <col min="3" max="6" width="24" customWidth="1"/>
  </cols>
  <sheetData>
    <row r="1" spans="1:6" ht="18" x14ac:dyDescent="0.25">
      <c r="A1" s="1" t="s">
        <v>26</v>
      </c>
    </row>
    <row r="3" spans="1:6" ht="42" customHeight="1" x14ac:dyDescent="0.25">
      <c r="A3" s="4" t="s">
        <v>3</v>
      </c>
      <c r="B3" s="4" t="s">
        <v>4</v>
      </c>
      <c r="C3" s="4" t="s">
        <v>27</v>
      </c>
      <c r="D3" s="4" t="s">
        <v>28</v>
      </c>
      <c r="E3" s="4" t="s">
        <v>29</v>
      </c>
      <c r="F3" s="4" t="s">
        <v>30</v>
      </c>
    </row>
    <row r="4" spans="1:6" x14ac:dyDescent="0.25">
      <c r="A4" s="5" t="s">
        <v>17</v>
      </c>
      <c r="B4" s="6" t="s">
        <v>18</v>
      </c>
      <c r="C4" s="7">
        <v>15</v>
      </c>
      <c r="D4" s="11">
        <v>0.38</v>
      </c>
      <c r="E4" s="11">
        <v>0.23</v>
      </c>
      <c r="F4" s="11">
        <v>0.54</v>
      </c>
    </row>
    <row r="5" spans="1:6" x14ac:dyDescent="0.25">
      <c r="A5" s="5" t="s">
        <v>17</v>
      </c>
      <c r="B5" s="6" t="s">
        <v>19</v>
      </c>
      <c r="C5" s="7">
        <v>15</v>
      </c>
      <c r="D5" s="11">
        <v>0.03</v>
      </c>
      <c r="E5" s="11">
        <v>0</v>
      </c>
      <c r="F5" s="11">
        <v>7.0000000000000007E-2</v>
      </c>
    </row>
    <row r="6" spans="1:6" x14ac:dyDescent="0.25">
      <c r="A6" s="5" t="s">
        <v>17</v>
      </c>
      <c r="B6" s="6" t="s">
        <v>20</v>
      </c>
      <c r="C6" s="7">
        <v>15</v>
      </c>
      <c r="D6" s="11">
        <v>0</v>
      </c>
      <c r="E6" s="11">
        <v>0</v>
      </c>
      <c r="F6" s="11">
        <v>0</v>
      </c>
    </row>
    <row r="7" spans="1:6" x14ac:dyDescent="0.25">
      <c r="A7" s="5" t="s">
        <v>21</v>
      </c>
      <c r="B7" s="6" t="s">
        <v>18</v>
      </c>
      <c r="C7" s="7">
        <v>14</v>
      </c>
      <c r="D7" s="11">
        <v>0.06</v>
      </c>
      <c r="E7" s="11">
        <v>0.01</v>
      </c>
      <c r="F7" s="11">
        <v>0.12</v>
      </c>
    </row>
    <row r="8" spans="1:6" x14ac:dyDescent="0.25">
      <c r="A8" s="5" t="s">
        <v>21</v>
      </c>
      <c r="B8" s="6" t="s">
        <v>19</v>
      </c>
      <c r="C8" s="7">
        <v>14</v>
      </c>
      <c r="D8" s="11">
        <v>0</v>
      </c>
      <c r="E8" s="11">
        <v>0</v>
      </c>
      <c r="F8" s="11">
        <v>0</v>
      </c>
    </row>
    <row r="9" spans="1:6" x14ac:dyDescent="0.25">
      <c r="A9" s="5" t="s">
        <v>21</v>
      </c>
      <c r="B9" s="6" t="s">
        <v>20</v>
      </c>
      <c r="C9" s="7">
        <v>15</v>
      </c>
      <c r="D9" s="11">
        <v>0</v>
      </c>
      <c r="E9" s="11">
        <v>0</v>
      </c>
      <c r="F9" s="11">
        <v>0</v>
      </c>
    </row>
    <row r="11" spans="1:6" x14ac:dyDescent="0.25">
      <c r="A11" s="2" t="s">
        <v>31</v>
      </c>
      <c r="B11" s="3">
        <v>0.05</v>
      </c>
    </row>
    <row r="12" spans="1:6" ht="42" customHeight="1" x14ac:dyDescent="0.25">
      <c r="A12" s="4" t="s">
        <v>3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36</v>
      </c>
    </row>
    <row r="13" spans="1:6" x14ac:dyDescent="0.25">
      <c r="A13" s="5" t="s">
        <v>17</v>
      </c>
      <c r="B13" s="6" t="s">
        <v>37</v>
      </c>
      <c r="C13" s="12">
        <v>8.4480000000000004E-5</v>
      </c>
      <c r="D13" s="12">
        <v>7.0709999999999999E-16</v>
      </c>
      <c r="E13" s="6" t="str">
        <f t="shared" ref="E13:F18" si="0">IF(C13&lt;$B$11,"yes","no")</f>
        <v>yes</v>
      </c>
      <c r="F13" s="6" t="str">
        <f t="shared" si="0"/>
        <v>yes</v>
      </c>
    </row>
    <row r="14" spans="1:6" x14ac:dyDescent="0.25">
      <c r="A14" s="5" t="s">
        <v>17</v>
      </c>
      <c r="B14" s="6" t="s">
        <v>38</v>
      </c>
      <c r="C14" s="12">
        <v>8.456E-6</v>
      </c>
      <c r="D14" s="12">
        <v>5.8520000000000002E-20</v>
      </c>
      <c r="E14" s="6" t="str">
        <f t="shared" si="0"/>
        <v>yes</v>
      </c>
      <c r="F14" s="6" t="str">
        <f t="shared" si="0"/>
        <v>yes</v>
      </c>
    </row>
    <row r="15" spans="1:6" x14ac:dyDescent="0.25">
      <c r="A15" s="5" t="s">
        <v>17</v>
      </c>
      <c r="B15" s="6" t="s">
        <v>39</v>
      </c>
      <c r="C15" s="12">
        <v>0.16439999999999999</v>
      </c>
      <c r="D15" s="12">
        <v>0.12330000000000001</v>
      </c>
      <c r="E15" s="6" t="str">
        <f t="shared" si="0"/>
        <v>no</v>
      </c>
      <c r="F15" s="6" t="str">
        <f t="shared" si="0"/>
        <v>no</v>
      </c>
    </row>
    <row r="16" spans="1:6" x14ac:dyDescent="0.25">
      <c r="A16" s="5" t="s">
        <v>21</v>
      </c>
      <c r="B16" s="6" t="s">
        <v>37</v>
      </c>
      <c r="C16" s="12">
        <v>1.7559999999999999E-2</v>
      </c>
      <c r="D16" s="12">
        <v>1.439E-3</v>
      </c>
      <c r="E16" s="6" t="str">
        <f t="shared" si="0"/>
        <v>yes</v>
      </c>
      <c r="F16" s="6" t="str">
        <f t="shared" si="0"/>
        <v>yes</v>
      </c>
    </row>
    <row r="17" spans="1:6" x14ac:dyDescent="0.25">
      <c r="A17" s="5" t="s">
        <v>21</v>
      </c>
      <c r="B17" s="6" t="s">
        <v>38</v>
      </c>
      <c r="C17" s="12">
        <v>1.413E-2</v>
      </c>
      <c r="D17" s="12">
        <v>1.439E-3</v>
      </c>
      <c r="E17" s="6" t="str">
        <f t="shared" si="0"/>
        <v>yes</v>
      </c>
      <c r="F17" s="6" t="str">
        <f t="shared" si="0"/>
        <v>yes</v>
      </c>
    </row>
    <row r="18" spans="1:6" x14ac:dyDescent="0.25">
      <c r="A18" s="5" t="s">
        <v>21</v>
      </c>
      <c r="B18" s="6" t="s">
        <v>39</v>
      </c>
      <c r="C18" s="12">
        <v>1</v>
      </c>
      <c r="D18" s="12">
        <v>1</v>
      </c>
      <c r="E18" s="6" t="str">
        <f t="shared" si="0"/>
        <v>no</v>
      </c>
      <c r="F18" s="6" t="str">
        <f t="shared" si="0"/>
        <v>no</v>
      </c>
    </row>
    <row r="20" spans="1:6" x14ac:dyDescent="0.25">
      <c r="A20" s="9" t="s">
        <v>22</v>
      </c>
    </row>
    <row r="21" spans="1:6" x14ac:dyDescent="0.25">
      <c r="A21" s="10" t="s">
        <v>40</v>
      </c>
    </row>
    <row r="22" spans="1:6" x14ac:dyDescent="0.25">
      <c r="A22" s="10" t="s">
        <v>41</v>
      </c>
    </row>
    <row r="23" spans="1:6" x14ac:dyDescent="0.25">
      <c r="A23" s="10" t="s">
        <v>42</v>
      </c>
    </row>
    <row r="24" spans="1:6" x14ac:dyDescent="0.25">
      <c r="A24" s="10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2" customWidth="1"/>
    <col min="3" max="3" width="52" customWidth="1"/>
    <col min="4" max="4" width="48" customWidth="1"/>
    <col min="5" max="5" width="56" customWidth="1"/>
    <col min="6" max="6" width="11" customWidth="1"/>
  </cols>
  <sheetData>
    <row r="1" spans="1:6" ht="18" x14ac:dyDescent="0.25">
      <c r="A1" s="1" t="s">
        <v>44</v>
      </c>
    </row>
    <row r="3" spans="1:6" x14ac:dyDescent="0.25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spans="1:6" ht="38.25" x14ac:dyDescent="0.25">
      <c r="A4" s="13">
        <v>1</v>
      </c>
      <c r="B4" s="13" t="s">
        <v>51</v>
      </c>
      <c r="C4" s="14" t="s">
        <v>52</v>
      </c>
      <c r="D4" s="14" t="s">
        <v>53</v>
      </c>
      <c r="E4" s="14" t="s">
        <v>54</v>
      </c>
      <c r="F4" s="13" t="s">
        <v>55</v>
      </c>
    </row>
    <row r="5" spans="1:6" ht="25.5" x14ac:dyDescent="0.25">
      <c r="A5" s="15">
        <v>2</v>
      </c>
      <c r="B5" s="15" t="s">
        <v>56</v>
      </c>
      <c r="C5" s="16" t="s">
        <v>57</v>
      </c>
      <c r="D5" s="16" t="s">
        <v>58</v>
      </c>
      <c r="E5" s="16" t="s">
        <v>59</v>
      </c>
      <c r="F5" s="15" t="s">
        <v>55</v>
      </c>
    </row>
    <row r="6" spans="1:6" ht="25.5" x14ac:dyDescent="0.25">
      <c r="A6" s="15">
        <v>3</v>
      </c>
      <c r="B6" s="15" t="s">
        <v>56</v>
      </c>
      <c r="C6" s="16" t="s">
        <v>60</v>
      </c>
      <c r="D6" s="16" t="s">
        <v>61</v>
      </c>
      <c r="E6" s="16" t="s">
        <v>62</v>
      </c>
      <c r="F6" s="15" t="s">
        <v>55</v>
      </c>
    </row>
    <row r="7" spans="1:6" ht="25.5" x14ac:dyDescent="0.25">
      <c r="A7" s="15">
        <v>4</v>
      </c>
      <c r="B7" s="15" t="s">
        <v>56</v>
      </c>
      <c r="C7" s="16" t="s">
        <v>63</v>
      </c>
      <c r="D7" s="16" t="s">
        <v>64</v>
      </c>
      <c r="E7" s="16" t="s">
        <v>65</v>
      </c>
      <c r="F7" s="15" t="s">
        <v>55</v>
      </c>
    </row>
    <row r="8" spans="1:6" ht="25.5" x14ac:dyDescent="0.25">
      <c r="A8" s="15">
        <v>5</v>
      </c>
      <c r="B8" s="15" t="s">
        <v>66</v>
      </c>
      <c r="C8" s="16" t="s">
        <v>67</v>
      </c>
      <c r="D8" s="16" t="s">
        <v>68</v>
      </c>
      <c r="E8" s="16" t="s">
        <v>69</v>
      </c>
      <c r="F8" s="15" t="s">
        <v>55</v>
      </c>
    </row>
    <row r="9" spans="1:6" ht="25.5" x14ac:dyDescent="0.25">
      <c r="A9" s="15">
        <v>6</v>
      </c>
      <c r="B9" s="15" t="s">
        <v>66</v>
      </c>
      <c r="C9" s="16" t="s">
        <v>70</v>
      </c>
      <c r="D9" s="16" t="s">
        <v>71</v>
      </c>
      <c r="E9" s="16" t="s">
        <v>72</v>
      </c>
      <c r="F9" s="15" t="s">
        <v>55</v>
      </c>
    </row>
    <row r="10" spans="1:6" ht="25.5" x14ac:dyDescent="0.25">
      <c r="A10" s="15">
        <v>7</v>
      </c>
      <c r="B10" s="15" t="s">
        <v>73</v>
      </c>
      <c r="C10" s="16" t="s">
        <v>74</v>
      </c>
      <c r="D10" s="16" t="s">
        <v>75</v>
      </c>
      <c r="E10" s="16" t="s">
        <v>76</v>
      </c>
      <c r="F10" s="15" t="s">
        <v>55</v>
      </c>
    </row>
    <row r="11" spans="1:6" ht="25.5" x14ac:dyDescent="0.25">
      <c r="A11" s="15">
        <v>8</v>
      </c>
      <c r="B11" s="15" t="s">
        <v>77</v>
      </c>
      <c r="C11" s="16" t="s">
        <v>78</v>
      </c>
      <c r="D11" s="16" t="s">
        <v>79</v>
      </c>
      <c r="E11" s="16" t="s">
        <v>80</v>
      </c>
      <c r="F11" s="15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results</vt:lpstr>
      <vt:lpstr>Topic-level stats</vt:lpstr>
      <vt:lpstr>Issues and to-do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Али Аян</cp:lastModifiedBy>
  <cp:revision>0</cp:revision>
  <dcterms:created xsi:type="dcterms:W3CDTF">2026-10-06T09:07:53Z</dcterms:created>
  <dcterms:modified xsi:type="dcterms:W3CDTF">2026-10-06T11:25:09Z</dcterms:modified>
  <dc:language>en-US</dc:language>
</cp:coreProperties>
</file>